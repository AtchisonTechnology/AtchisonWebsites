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tart Here" sheetId="1" state="visible" r:id="rId1"/>
    <sheet xmlns:r="http://schemas.openxmlformats.org/officeDocument/2006/relationships" name="Attribution Table" sheetId="2" state="visible" r:id="rId2"/>
    <sheet xmlns:r="http://schemas.openxmlformats.org/officeDocument/2006/relationships" name="Drivers Check" sheetId="3" state="visible" r:id="rId3"/>
    <sheet xmlns:r="http://schemas.openxmlformats.org/officeDocument/2006/relationships" name="Your Result" sheetId="4" state="visible" r:id="rId4"/>
  </sheets>
  <definedNames>
    <definedName name="_xlnm.Print_Area" localSheetId="0">'Start Here'!$B$2:$B$29</definedName>
    <definedName name="_xlnm.Print_Area" localSheetId="1">'Attribution Table'!$A$2:$G$18</definedName>
    <definedName name="_xlnm.Print_Area" localSheetId="2">'Drivers Check'!$B$2:$G$33</definedName>
    <definedName name="_xlnm.Print_Area" localSheetId="3">'Your Result'!$B$2:$D$28</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
  </numFmts>
  <fonts count="12">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6"/>
    </font>
    <font>
      <name val="Arial"/>
      <charset val="1"/>
      <family val="0"/>
      <b val="1"/>
      <sz val="10"/>
    </font>
    <font>
      <name val="Arial"/>
      <charset val="1"/>
      <family val="0"/>
      <sz val="10"/>
    </font>
    <font>
      <name val="Arial"/>
      <charset val="1"/>
      <family val="0"/>
      <b val="1"/>
      <color rgb="FF1F3864"/>
      <sz val="12"/>
    </font>
    <font>
      <name val="Arial"/>
      <charset val="1"/>
      <family val="0"/>
      <i val="1"/>
      <color rgb="FF808080"/>
      <sz val="9"/>
    </font>
    <font>
      <name val="Arial"/>
      <charset val="1"/>
      <family val="0"/>
      <b val="1"/>
      <color rgb="FFFFFFFF"/>
      <sz val="10"/>
    </font>
    <font>
      <name val="Arial"/>
      <charset val="1"/>
      <family val="0"/>
      <b val="1"/>
      <color rgb="FF1F3864"/>
      <sz val="14"/>
    </font>
    <font>
      <name val="Arial"/>
      <charset val="1"/>
      <family val="0"/>
      <b val="1"/>
      <color rgb="FFC00000"/>
      <sz val="12"/>
    </font>
  </fonts>
  <fills count="5">
    <fill>
      <patternFill/>
    </fill>
    <fill>
      <patternFill patternType="gray125"/>
    </fill>
    <fill>
      <patternFill patternType="solid">
        <fgColor rgb="FF1F3864"/>
        <bgColor rgb="FF333333"/>
      </patternFill>
    </fill>
    <fill>
      <patternFill patternType="solid">
        <fgColor rgb="FFF2F2F2"/>
        <bgColor rgb="FFFFFFFF"/>
      </patternFill>
    </fill>
    <fill>
      <patternFill patternType="solid">
        <fgColor rgb="FFFFFF00"/>
        <bgColor rgb="FFFFFF00"/>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3">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9" fillId="2" borderId="1" applyAlignment="1" pivotButton="0" quotePrefix="0" xfId="0">
      <alignment horizontal="general" vertical="top" wrapText="1"/>
    </xf>
    <xf numFmtId="0" fontId="8" fillId="3" borderId="1" applyAlignment="1" pivotButton="0" quotePrefix="0" xfId="0">
      <alignment horizontal="general" vertical="top" wrapText="1"/>
    </xf>
    <xf numFmtId="164" fontId="8" fillId="3" borderId="1" applyAlignment="1" pivotButton="0" quotePrefix="0" xfId="0">
      <alignment horizontal="general" vertical="top" wrapText="1"/>
    </xf>
    <xf numFmtId="0" fontId="5" fillId="0" borderId="1" applyAlignment="1" pivotButton="0" quotePrefix="0" xfId="0">
      <alignment horizontal="center" vertical="center"/>
    </xf>
    <xf numFmtId="0" fontId="6" fillId="4" borderId="1" applyAlignment="1" applyProtection="1" pivotButton="0" quotePrefix="0" xfId="0">
      <alignment horizontal="general" vertical="top" wrapText="1"/>
      <protection locked="0" hidden="0"/>
    </xf>
    <xf numFmtId="164" fontId="6" fillId="4" borderId="1" applyAlignment="1" applyProtection="1" pivotButton="0" quotePrefix="0" xfId="0">
      <alignment horizontal="general" vertical="top" wrapText="1"/>
      <protection locked="0" hidden="0"/>
    </xf>
    <xf numFmtId="0" fontId="5" fillId="0" borderId="0" applyAlignment="1" pivotButton="0" quotePrefix="0" xfId="0">
      <alignment horizontal="general" vertical="bottom"/>
    </xf>
    <xf numFmtId="164" fontId="5" fillId="0" borderId="0" applyAlignment="1" pivotButton="0" quotePrefix="0" xfId="0">
      <alignment horizontal="general" vertical="bottom"/>
    </xf>
    <xf numFmtId="0" fontId="8" fillId="0" borderId="0" applyAlignment="1" pivotButton="0" quotePrefix="0" xfId="0">
      <alignment horizontal="general" vertical="top" wrapText="1"/>
    </xf>
    <xf numFmtId="0" fontId="9" fillId="2" borderId="1" applyAlignment="1" pivotButton="0" quotePrefix="0" xfId="0">
      <alignment horizontal="center" vertical="center"/>
    </xf>
    <xf numFmtId="0" fontId="5" fillId="0" borderId="1" applyAlignment="1" pivotButton="0" quotePrefix="0" xfId="0">
      <alignment horizontal="general" vertical="top" wrapText="1"/>
    </xf>
    <xf numFmtId="0" fontId="6" fillId="0" borderId="1" applyAlignment="1" pivotButton="0" quotePrefix="0" xfId="0">
      <alignment horizontal="general" vertical="top" wrapText="1"/>
    </xf>
    <xf numFmtId="0" fontId="5" fillId="4" borderId="1" applyAlignment="1" applyProtection="1" pivotButton="0" quotePrefix="0" xfId="0">
      <alignment horizontal="center" vertical="center"/>
      <protection locked="0" hidden="0"/>
    </xf>
    <xf numFmtId="0" fontId="10" fillId="0" borderId="0" applyAlignment="1" pivotButton="0" quotePrefix="0" xfId="0">
      <alignment horizontal="general" vertical="top" wrapText="1"/>
    </xf>
    <xf numFmtId="164" fontId="10" fillId="0" borderId="0" applyAlignment="1" pivotButton="0" quotePrefix="0" xfId="0">
      <alignment horizontal="general" vertical="top" wrapText="1"/>
    </xf>
    <xf numFmtId="0" fontId="9" fillId="2" borderId="1" applyAlignment="1" pivotButton="0" quotePrefix="0" xfId="0">
      <alignment horizontal="general" vertical="bottom"/>
    </xf>
    <xf numFmtId="0" fontId="6" fillId="0" borderId="1" applyAlignment="1" pivotButton="0" quotePrefix="0" xfId="0">
      <alignment horizontal="general" vertical="bottom"/>
    </xf>
    <xf numFmtId="0" fontId="8" fillId="0" borderId="1" applyAlignment="1" pivotButton="0" quotePrefix="0" xfId="0">
      <alignment horizontal="general" vertical="bottom"/>
    </xf>
    <xf numFmtId="0" fontId="11" fillId="0" borderId="0" applyAlignment="1" pivotButton="0" quotePrefix="0" xfId="0">
      <alignment horizontal="general" vertical="top" wrapText="1"/>
    </xf>
    <xf numFmtId="0" fontId="6" fillId="0" borderId="0" applyAlignment="1" pivotButton="0" quotePrefix="0" xfId="0">
      <alignment horizontal="general" vertical="top" wrapText="1"/>
    </xf>
    <xf numFmtId="0" fontId="5"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9" fillId="2" borderId="1" applyAlignment="1" pivotButton="0" quotePrefix="0" xfId="0">
      <alignment horizontal="general" vertical="top" wrapText="1"/>
    </xf>
    <xf numFmtId="0" fontId="8" fillId="3" borderId="1" applyAlignment="1" pivotButton="0" quotePrefix="0" xfId="0">
      <alignment horizontal="general" vertical="top" wrapText="1"/>
    </xf>
    <xf numFmtId="164" fontId="8" fillId="3" borderId="1" applyAlignment="1" pivotButton="0" quotePrefix="0" xfId="0">
      <alignment horizontal="general" vertical="top" wrapText="1"/>
    </xf>
    <xf numFmtId="0" fontId="5" fillId="0" borderId="1" applyAlignment="1" pivotButton="0" quotePrefix="0" xfId="0">
      <alignment horizontal="center" vertical="center"/>
    </xf>
    <xf numFmtId="0" fontId="6" fillId="4" borderId="1" applyAlignment="1" applyProtection="1" pivotButton="0" quotePrefix="0" xfId="0">
      <alignment horizontal="general" vertical="top" wrapText="1"/>
      <protection locked="0" hidden="0"/>
    </xf>
    <xf numFmtId="164" fontId="6" fillId="4" borderId="1" applyAlignment="1" applyProtection="1" pivotButton="0" quotePrefix="0" xfId="0">
      <alignment horizontal="general" vertical="top" wrapText="1"/>
      <protection locked="0" hidden="0"/>
    </xf>
    <xf numFmtId="0" fontId="5" fillId="0" borderId="0" applyAlignment="1" pivotButton="0" quotePrefix="0" xfId="0">
      <alignment horizontal="general" vertical="bottom"/>
    </xf>
    <xf numFmtId="164" fontId="5" fillId="0" borderId="0" applyAlignment="1" pivotButton="0" quotePrefix="0" xfId="0">
      <alignment horizontal="general" vertical="bottom"/>
    </xf>
    <xf numFmtId="0" fontId="8" fillId="0" borderId="0" applyAlignment="1" pivotButton="0" quotePrefix="0" xfId="0">
      <alignment horizontal="general" vertical="top" wrapText="1"/>
    </xf>
    <xf numFmtId="0" fontId="9" fillId="2" borderId="1" applyAlignment="1" pivotButton="0" quotePrefix="0" xfId="0">
      <alignment horizontal="center" vertical="center"/>
    </xf>
    <xf numFmtId="0" fontId="5" fillId="0" borderId="1" applyAlignment="1" pivotButton="0" quotePrefix="0" xfId="0">
      <alignment horizontal="general" vertical="top" wrapText="1"/>
    </xf>
    <xf numFmtId="0" fontId="6" fillId="0" borderId="1" applyAlignment="1" pivotButton="0" quotePrefix="0" xfId="0">
      <alignment horizontal="general" vertical="top" wrapText="1"/>
    </xf>
    <xf numFmtId="0" fontId="5" fillId="4" borderId="1" applyAlignment="1" applyProtection="1" pivotButton="0" quotePrefix="0" xfId="0">
      <alignment horizontal="center" vertical="center"/>
      <protection locked="0" hidden="0"/>
    </xf>
    <xf numFmtId="0" fontId="10" fillId="0" borderId="0" applyAlignment="1" pivotButton="0" quotePrefix="0" xfId="0">
      <alignment horizontal="general" vertical="top" wrapText="1"/>
    </xf>
    <xf numFmtId="164" fontId="10" fillId="0" borderId="0" applyAlignment="1" pivotButton="0" quotePrefix="0" xfId="0">
      <alignment horizontal="general" vertical="top" wrapText="1"/>
    </xf>
    <xf numFmtId="0" fontId="9" fillId="2" borderId="1" applyAlignment="1" pivotButton="0" quotePrefix="0" xfId="0">
      <alignment horizontal="general" vertical="bottom"/>
    </xf>
    <xf numFmtId="0" fontId="6" fillId="0" borderId="1" applyAlignment="1" pivotButton="0" quotePrefix="0" xfId="0">
      <alignment horizontal="general" vertical="bottom"/>
    </xf>
    <xf numFmtId="0" fontId="8" fillId="0" borderId="1" applyAlignment="1" pivotButton="0" quotePrefix="0" xfId="0">
      <alignment horizontal="general" vertical="bottom"/>
    </xf>
    <xf numFmtId="0" fontId="11"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0B0B0"/>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B2:B29"/>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7" min="1" max="1"/>
    <col width="104" customWidth="1" style="27" min="2" max="2"/>
  </cols>
  <sheetData>
    <row r="2" ht="19.7" customHeight="1" s="28">
      <c r="B2" s="29" t="inlineStr">
        <is>
          <t>The Cost Attribution Worksheet</t>
        </is>
      </c>
    </row>
    <row r="4" ht="15" customHeight="1" s="28">
      <c r="B4" s="30" t="inlineStr">
        <is>
          <t>Most teams can name their five largest cloud line items. Almost none can name what caused them.</t>
        </is>
      </c>
    </row>
    <row r="5" ht="15" customHeight="1" s="28">
      <c r="B5" s="31" t="n"/>
    </row>
    <row r="6" ht="42" customHeight="1" s="28">
      <c r="B6" s="31" t="inlineStr">
        <is>
          <t>This worksheet asks you to try. It is not a maturity score and there is no grade at the end. It is an exercise, and the useful result is the part you cannot fill in. If you can't fill most of it in, that isn't failing. It shows you exactly where to focus.</t>
        </is>
      </c>
    </row>
    <row r="7" ht="15" customHeight="1" s="28">
      <c r="B7" s="31" t="n"/>
    </row>
    <row r="8" ht="15" customHeight="1" s="28">
      <c r="B8" s="31" t="inlineStr">
        <is>
          <t>It takes about twenty minutes, and you need your cloud bill open beside you.</t>
        </is>
      </c>
    </row>
    <row r="10" ht="15" customHeight="1" s="28">
      <c r="B10" s="32" t="inlineStr">
        <is>
          <t>How to use it</t>
        </is>
      </c>
    </row>
    <row r="12" ht="15" customHeight="1" s="28">
      <c r="B12" s="31" t="inlineStr">
        <is>
          <t>1.  Open your cloud provider's cost console and sort by spend, descending.</t>
        </is>
      </c>
    </row>
    <row r="13" ht="15" customHeight="1" s="28">
      <c r="B13" s="31" t="inlineStr">
        <is>
          <t>2.  On the Attribution Table tab, enter your five largest line items and what each costs per month.</t>
        </is>
      </c>
    </row>
    <row r="14" ht="15" customHeight="1" s="28">
      <c r="B14" s="31" t="inlineStr">
        <is>
          <t>3.  For each one, name the architectural decision that causes it, when it was made, and what it would take to unmake it.</t>
        </is>
      </c>
    </row>
    <row r="15" ht="15" customHeight="1" s="28">
      <c r="B15" s="31" t="inlineStr">
        <is>
          <t>4.  Mark honestly how sure you are. That column is the whole point, and guessing well does you no good here.</t>
        </is>
      </c>
    </row>
    <row r="16" ht="15" customHeight="1" s="28">
      <c r="B16" s="31" t="inlineStr">
        <is>
          <t>5.  Fill in the Drivers Check tab, which takes about five minutes.</t>
        </is>
      </c>
    </row>
    <row r="17" ht="15" customHeight="1" s="28">
      <c r="B17" s="31" t="inlineStr">
        <is>
          <t>6.  Read Your Result.</t>
        </is>
      </c>
    </row>
    <row r="19" ht="15" customHeight="1" s="28">
      <c r="B19" s="32" t="inlineStr">
        <is>
          <t>Two rules that make it work</t>
        </is>
      </c>
    </row>
    <row r="21" ht="27.75" customHeight="1" s="28">
      <c r="B21" s="31" t="inlineStr">
        <is>
          <t>Write the decision, not the resource.  "We run forty services" is a decision. "Forty load balancers" is the resource it produced.</t>
        </is>
      </c>
    </row>
    <row r="22" ht="27.75" customHeight="1" s="28">
      <c r="B22" s="31" t="inlineStr">
        <is>
          <t>Leave a cell blank rather than guess at it.  A blank cell is data. A confident guess is not.</t>
        </is>
      </c>
    </row>
    <row r="24" ht="15" customHeight="1" s="28">
      <c r="B24" s="30" t="inlineStr">
        <is>
          <t>Your numbers stay in this file. Nothing here is submitted, uploaded or transmitted anywhere.</t>
        </is>
      </c>
    </row>
    <row r="26" ht="15" customHeight="1" s="28">
      <c r="B26" s="31" t="inlineStr">
        <is>
          <t>Yellow cells are the ones you fill in. Everything else is locked so a formula cannot be overwritten by accident.</t>
        </is>
      </c>
    </row>
    <row r="29" ht="15" customHeight="1" s="28">
      <c r="B29" s="33" t="inlineStr">
        <is>
          <t>Cost Attribution Worksheet v1.0.1  ·  Architecting for Cost  ·  leeatchison.com</t>
        </is>
      </c>
    </row>
  </sheetData>
  <sheetProtection selectLockedCells="0" selectUnlockedCells="0" sheet="1" objects="0" insertRows="1" insertHyperlinks="1" autoFilter="1" scenarios="0" formatColumns="1" deleteColumns="1" insertColumns="1" pivotTables="1" deleteRows="1" formatCells="1" formatRows="1" sort="1"/>
  <printOptions horizontalCentered="0" verticalCentered="0" headings="0" gridLines="0" gridLinesSet="1"/>
  <pageMargins left="0.75" right="0.75" top="1" bottom="1" header="0.511811023622047" footer="0.511811023622047"/>
  <pageSetup orientation="landscape"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1"/>
  </sheetPr>
  <dimension ref="A2:G1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27" min="1" max="1"/>
    <col width="30" customWidth="1" style="27" min="2" max="2"/>
    <col width="15" customWidth="1" style="27" min="3" max="3"/>
    <col width="40" customWidth="1" style="27" min="4" max="4"/>
    <col width="30" customWidth="1" style="27" min="5" max="5"/>
    <col width="26" customWidth="1" style="27" min="6" max="6"/>
    <col width="16" customWidth="1" style="27" min="7" max="7"/>
  </cols>
  <sheetData>
    <row r="2" ht="19.7" customHeight="1" s="28">
      <c r="B2" s="29" t="inlineStr">
        <is>
          <t>Part A — Attribution Table</t>
        </is>
      </c>
    </row>
    <row r="4" ht="46.25" customHeight="1" s="28">
      <c r="B4" s="31" t="inlineStr">
        <is>
          <t>Your five largest line items, and the design decision behind each one. Grey row is an example; do not edit it.</t>
        </is>
      </c>
    </row>
    <row r="6" ht="42" customHeight="1" s="28">
      <c r="A6" s="34" t="inlineStr">
        <is>
          <t>#</t>
        </is>
      </c>
      <c r="B6" s="34" t="inlineStr">
        <is>
          <t>Line item (as your bill names it)</t>
        </is>
      </c>
      <c r="C6" s="34" t="inlineStr">
        <is>
          <t>Cost per month</t>
        </is>
      </c>
      <c r="D6" s="34" t="inlineStr">
        <is>
          <t>What architectural decision causes this?</t>
        </is>
      </c>
      <c r="E6" s="34" t="inlineStr">
        <is>
          <t>When was it made, and by whom?</t>
        </is>
      </c>
      <c r="F6" s="34" t="inlineStr">
        <is>
          <t>What would it take to unmake it?</t>
        </is>
      </c>
      <c r="G6" s="34" t="inlineStr">
        <is>
          <t>How sure are you?</t>
        </is>
      </c>
    </row>
    <row r="7" ht="45.75" customHeight="1" s="28">
      <c r="A7" s="35" t="inlineStr">
        <is>
          <t>e.g.</t>
        </is>
      </c>
      <c r="B7" s="35" t="inlineStr">
        <is>
          <t>NAT Gateway - data processing</t>
        </is>
      </c>
      <c r="C7" s="36" t="n">
        <v>4200</v>
      </c>
      <c r="D7" s="35" t="inlineStr">
        <is>
          <t>Private subnets pull container images from the public internet on every deploy</t>
        </is>
      </c>
      <c r="E7" s="35" t="inlineStr">
        <is>
          <t>2022, platform team, during the EKS migration</t>
        </is>
      </c>
      <c r="F7" s="35" t="inlineStr">
        <is>
          <t>A sprint</t>
        </is>
      </c>
      <c r="G7" s="35" t="inlineStr">
        <is>
          <t>Sure</t>
        </is>
      </c>
    </row>
    <row r="8" ht="43.5" customHeight="1" s="28">
      <c r="A8" s="37" t="n">
        <v>1</v>
      </c>
      <c r="B8" s="38" t="inlineStr">
        <is>
          <t>EC2 instances</t>
        </is>
      </c>
      <c r="C8" s="39" t="n">
        <v>41000</v>
      </c>
      <c r="D8" s="38" t="inlineStr">
        <is>
          <t>Every service is sized for the holiday peak and runs at that size all year</t>
        </is>
      </c>
      <c r="E8" s="38" t="inlineStr">
        <is>
          <t>2021, each service team at launch</t>
        </is>
      </c>
      <c r="F8" s="38" t="inlineStr">
        <is>
          <t>A quarter</t>
        </is>
      </c>
      <c r="G8" s="38" t="inlineStr">
        <is>
          <t>Guessing</t>
        </is>
      </c>
    </row>
    <row r="9" ht="43.5" customHeight="1" s="28">
      <c r="A9" s="37" t="n">
        <v>2</v>
      </c>
      <c r="B9" s="38" t="inlineStr">
        <is>
          <t>RDS database instances</t>
        </is>
      </c>
      <c r="C9" s="39" t="n">
        <v>18500</v>
      </c>
      <c r="D9" s="38" t="inlineStr">
        <is>
          <t>Each enterprise customer gets its own database, for isolation promised in contracts</t>
        </is>
      </c>
      <c r="E9" s="38" t="inlineStr">
        <is>
          <t>2019, the founding engineers</t>
        </is>
      </c>
      <c r="F9" s="38" t="inlineStr">
        <is>
          <t>A migration or re-platform</t>
        </is>
      </c>
      <c r="G9" s="38" t="inlineStr">
        <is>
          <t>Sure</t>
        </is>
      </c>
    </row>
    <row r="10" ht="43.5" customHeight="1" s="28">
      <c r="A10" s="37" t="n">
        <v>3</v>
      </c>
      <c r="B10" s="38" t="inlineStr">
        <is>
          <t>Data transfer, inter-AZ</t>
        </is>
      </c>
      <c r="C10" s="39" t="n">
        <v>9200</v>
      </c>
      <c r="D10" s="38" t="n"/>
      <c r="E10" s="38" t="n"/>
      <c r="F10" s="38" t="inlineStr">
        <is>
          <t>Don't know</t>
        </is>
      </c>
      <c r="G10" s="38" t="inlineStr">
        <is>
          <t>No idea</t>
        </is>
      </c>
    </row>
    <row r="11" ht="43.5" customHeight="1" s="28">
      <c r="A11" s="37" t="n">
        <v>4</v>
      </c>
      <c r="B11" s="38" t="inlineStr">
        <is>
          <t>NAT gateway data processing</t>
        </is>
      </c>
      <c r="C11" s="39" t="n">
        <v>6800</v>
      </c>
      <c r="D11" s="38" t="inlineStr">
        <is>
          <t>Services reach S3 through the public endpoint instead of a VPC endpoint</t>
        </is>
      </c>
      <c r="E11" s="38" t="inlineStr">
        <is>
          <t>2022, the platform team</t>
        </is>
      </c>
      <c r="F11" s="38" t="inlineStr">
        <is>
          <t>A sprint</t>
        </is>
      </c>
      <c r="G11" s="38" t="inlineStr">
        <is>
          <t>Sure</t>
        </is>
      </c>
    </row>
    <row r="12" ht="43.5" customHeight="1" s="28">
      <c r="A12" s="37" t="n">
        <v>5</v>
      </c>
      <c r="B12" s="38" t="inlineStr">
        <is>
          <t>CloudWatch Logs</t>
        </is>
      </c>
      <c r="C12" s="39" t="n">
        <v>5400</v>
      </c>
      <c r="D12" s="38" t="inlineStr">
        <is>
          <t>Debug-level logging stayed on in production after a 2023 incident</t>
        </is>
      </c>
      <c r="E12" s="38" t="inlineStr">
        <is>
          <t>Unknown</t>
        </is>
      </c>
      <c r="F12" s="38" t="inlineStr">
        <is>
          <t>A sprint</t>
        </is>
      </c>
      <c r="G12" s="38" t="inlineStr">
        <is>
          <t>Guessing</t>
        </is>
      </c>
    </row>
    <row r="14" ht="15" customHeight="1" s="28">
      <c r="B14" s="40" t="inlineStr">
        <is>
          <t>Total of these five, per month:</t>
        </is>
      </c>
      <c r="C14" s="41">
        <f>SUM(C8:C12)</f>
        <v/>
      </c>
    </row>
    <row r="16" ht="32.8" customHeight="1" s="28">
      <c r="B16" s="42" t="inlineStr">
        <is>
          <t>If you left a decision cell blank, leave it blank. That is the finding, and Your Result counts on it.</t>
        </is>
      </c>
    </row>
    <row r="18" ht="15" customHeight="1" s="28">
      <c r="B18" s="33" t="inlineStr">
        <is>
          <t>Cost Attribution Worksheet v1.0.1  ·  Architecting for Cost  ·  leeatchison.com</t>
        </is>
      </c>
    </row>
  </sheetData>
  <sheetProtection selectLockedCells="0" selectUnlockedCells="0" sheet="1" objects="0" insertRows="1" insertHyperlinks="1" autoFilter="1" scenarios="0" formatColumns="1" deleteColumns="1" insertColumns="1" pivotTables="1" deleteRows="1" formatCells="1" formatRows="1" sort="1"/>
  <dataValidations count="2">
    <dataValidation sqref="F8:F12" showDropDown="0" showInputMessage="0" showErrorMessage="0" allowBlank="1" type="list" errorStyle="stop" operator="between">
      <formula1>"A sprint,A quarter,A migration or re-platform,Cannot be unmade,Don't know"</formula1>
      <formula2>0</formula2>
    </dataValidation>
    <dataValidation sqref="G8:G12" showDropDown="0" showInputMessage="0" showErrorMessage="0" allowBlank="1" type="list" errorStyle="stop" operator="between">
      <formula1>"Sure,Guessing,No idea"</formula1>
      <formula2>0</formula2>
    </dataValidation>
  </dataValidations>
  <printOptions horizontalCentered="0" verticalCentered="0" headings="0" gridLines="0" gridLinesSet="1"/>
  <pageMargins left="0.75" right="0.75" top="1" bottom="1" header="0.511811023622047" footer="0.511811023622047"/>
  <pageSetup orientation="landscape"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1"/>
  </sheetPr>
  <dimension ref="B2:G3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27" min="1" max="1"/>
    <col width="34" customWidth="1" style="27" min="2" max="2"/>
    <col width="26" customWidth="1" style="27" min="3" max="6"/>
    <col width="12" customWidth="1" style="27" min="7" max="7"/>
  </cols>
  <sheetData>
    <row r="2" ht="19.7" customHeight="1" s="28">
      <c r="B2" s="29" t="inlineStr">
        <is>
          <t>Part B — Drivers Check</t>
        </is>
      </c>
    </row>
    <row r="4" ht="58" customHeight="1" s="28">
      <c r="B4" s="31" t="inlineStr">
        <is>
          <t>Ten questions on the five structural drivers that dominate most cloud bills. For each question, read the four descriptions under 0 to 3 and pick the one that best matches what you do today, not what you plan to do. Then enter that number in the yellow Your answer cell. About five minutes.</t>
        </is>
      </c>
    </row>
    <row r="6" ht="15" customHeight="1" s="28">
      <c r="B6" s="32" t="inlineStr">
        <is>
          <t>Multi-tenancy and isolation</t>
        </is>
      </c>
    </row>
    <row r="7" ht="15.75" customHeight="1" s="28">
      <c r="B7" s="34" t="inlineStr">
        <is>
          <t>Question</t>
        </is>
      </c>
      <c r="C7" s="43" t="inlineStr">
        <is>
          <t>0</t>
        </is>
      </c>
      <c r="D7" s="43" t="inlineStr">
        <is>
          <t>1</t>
        </is>
      </c>
      <c r="E7" s="43" t="inlineStr">
        <is>
          <t>2</t>
        </is>
      </c>
      <c r="F7" s="43" t="inlineStr">
        <is>
          <t>3</t>
        </is>
      </c>
      <c r="G7" s="43" t="inlineStr">
        <is>
          <t>Your answer</t>
        </is>
      </c>
    </row>
    <row r="8" ht="43.5" customHeight="1" s="28">
      <c r="B8" s="44" t="inlineStr">
        <is>
          <t>How do customers share infrastructure?</t>
        </is>
      </c>
      <c r="C8" s="45" t="inlineStr">
        <is>
          <t>Every customer gets their own stack, and nobody has priced the difference</t>
        </is>
      </c>
      <c r="D8" s="45" t="inlineStr">
        <is>
          <t>Mostly per-customer, some shared, decided case by case</t>
        </is>
      </c>
      <c r="E8" s="45" t="inlineStr">
        <is>
          <t>Mostly shared, with named exceptions</t>
        </is>
      </c>
      <c r="F8" s="45" t="inlineStr">
        <is>
          <t>A deliberate model, and we know at what customer count it stops paying</t>
        </is>
      </c>
      <c r="G8" s="46" t="n">
        <v>1</v>
      </c>
    </row>
    <row r="9" ht="43.5" customHeight="1" s="28">
      <c r="B9" s="44" t="inlineStr">
        <is>
          <t>Do you know what your least profitable customer costs to serve?</t>
        </is>
      </c>
      <c r="C9" s="45" t="inlineStr">
        <is>
          <t>We have never calculated per-customer cost</t>
        </is>
      </c>
      <c r="D9" s="45" t="inlineStr">
        <is>
          <t>We could work it out if someone asked</t>
        </is>
      </c>
      <c r="E9" s="45" t="inlineStr">
        <is>
          <t>We track it roughly, by segment</t>
        </is>
      </c>
      <c r="F9" s="45" t="inlineStr">
        <is>
          <t>We track cost per customer and it informs pricing</t>
        </is>
      </c>
      <c r="G9" s="46" t="n">
        <v>1</v>
      </c>
    </row>
    <row r="11" ht="15" customHeight="1" s="28">
      <c r="B11" s="32" t="inlineStr">
        <is>
          <t>Data gravity and egress</t>
        </is>
      </c>
    </row>
    <row r="12" ht="15.75" customHeight="1" s="28">
      <c r="B12" s="34" t="inlineStr">
        <is>
          <t>Question</t>
        </is>
      </c>
      <c r="C12" s="43" t="inlineStr">
        <is>
          <t>0</t>
        </is>
      </c>
      <c r="D12" s="43" t="inlineStr">
        <is>
          <t>1</t>
        </is>
      </c>
      <c r="E12" s="43" t="inlineStr">
        <is>
          <t>2</t>
        </is>
      </c>
      <c r="F12" s="43" t="inlineStr">
        <is>
          <t>3</t>
        </is>
      </c>
      <c r="G12" s="43" t="inlineStr">
        <is>
          <t>Your answer</t>
        </is>
      </c>
    </row>
    <row r="13" ht="43.5" customHeight="1" s="28">
      <c r="B13" s="44" t="inlineStr">
        <is>
          <t>Do you know which boundaries your data crosses, and how often?</t>
        </is>
      </c>
      <c r="C13" s="45" t="inlineStr">
        <is>
          <t>No, and the data transfer line is a mystery</t>
        </is>
      </c>
      <c r="D13" s="45" t="inlineStr">
        <is>
          <t>We know the big ones by reputation</t>
        </is>
      </c>
      <c r="E13" s="45" t="inlineStr">
        <is>
          <t>We have mapped the main paths</t>
        </is>
      </c>
      <c r="F13" s="45" t="inlineStr">
        <is>
          <t>The paths are mapped, priced, and reviewed when the design changes</t>
        </is>
      </c>
      <c r="G13" s="46" t="n">
        <v>0</v>
      </c>
    </row>
    <row r="14" ht="43.5" customHeight="1" s="28">
      <c r="B14" s="44" t="inlineStr">
        <is>
          <t>Cross-zone and cross-region traffic between your own services is:</t>
        </is>
      </c>
      <c r="C14" s="45" t="inlineStr">
        <is>
          <t>Not something we have ever measured</t>
        </is>
      </c>
      <c r="D14" s="45" t="inlineStr">
        <is>
          <t>Known to exist, never quantified</t>
        </is>
      </c>
      <c r="E14" s="45" t="inlineStr">
        <is>
          <t>Measured, and we know the largest contributors</t>
        </is>
      </c>
      <c r="F14" s="45" t="inlineStr">
        <is>
          <t>Measured, and placement decisions are made with it in view</t>
        </is>
      </c>
      <c r="G14" s="46" t="n">
        <v>0</v>
      </c>
    </row>
    <row r="16" ht="15" customHeight="1" s="28">
      <c r="B16" s="32" t="inlineStr">
        <is>
          <t>Idle and over-provisioned capacity</t>
        </is>
      </c>
    </row>
    <row r="17" ht="15.75" customHeight="1" s="28">
      <c r="B17" s="34" t="inlineStr">
        <is>
          <t>Question</t>
        </is>
      </c>
      <c r="C17" s="43" t="inlineStr">
        <is>
          <t>0</t>
        </is>
      </c>
      <c r="D17" s="43" t="inlineStr">
        <is>
          <t>1</t>
        </is>
      </c>
      <c r="E17" s="43" t="inlineStr">
        <is>
          <t>2</t>
        </is>
      </c>
      <c r="F17" s="43" t="inlineStr">
        <is>
          <t>3</t>
        </is>
      </c>
      <c r="G17" s="43" t="inlineStr">
        <is>
          <t>Your answer</t>
        </is>
      </c>
    </row>
    <row r="18" ht="43.5" customHeight="1" s="28">
      <c r="B18" s="44" t="inlineStr">
        <is>
          <t>How was your current capacity sized?</t>
        </is>
      </c>
      <c r="C18" s="45" t="inlineStr">
        <is>
          <t>At peak, once, and never revisited</t>
        </is>
      </c>
      <c r="D18" s="45" t="inlineStr">
        <is>
          <t>At peak, with occasional manual adjustment</t>
        </is>
      </c>
      <c r="E18" s="45" t="inlineStr">
        <is>
          <t>Autoscaled, with headroom nobody has tuned</t>
        </is>
      </c>
      <c r="F18" s="45" t="inlineStr">
        <is>
          <t>Autoscaled against a measured peak-to-average ratio</t>
        </is>
      </c>
      <c r="G18" s="46" t="n">
        <v>0</v>
      </c>
    </row>
    <row r="19" ht="43.5" customHeight="1" s="28">
      <c r="B19" s="44" t="inlineStr">
        <is>
          <t>Average utilisation across your compute is:</t>
        </is>
      </c>
      <c r="C19" s="45" t="inlineStr">
        <is>
          <t>Unknown</t>
        </is>
      </c>
      <c r="D19" s="45" t="inlineStr">
        <is>
          <t>Known to be low, and treated as normal</t>
        </is>
      </c>
      <c r="E19" s="45" t="inlineStr">
        <is>
          <t>Measured, and someone owns improving it</t>
        </is>
      </c>
      <c r="F19" s="45" t="inlineStr">
        <is>
          <t>Measured, with a target the design is held to</t>
        </is>
      </c>
      <c r="G19" s="46" t="n">
        <v>1</v>
      </c>
    </row>
    <row r="21" ht="15" customHeight="1" s="28">
      <c r="B21" s="32" t="inlineStr">
        <is>
          <t>Storage tiering</t>
        </is>
      </c>
    </row>
    <row r="22" ht="15.75" customHeight="1" s="28">
      <c r="B22" s="34" t="inlineStr">
        <is>
          <t>Question</t>
        </is>
      </c>
      <c r="C22" s="43" t="inlineStr">
        <is>
          <t>0</t>
        </is>
      </c>
      <c r="D22" s="43" t="inlineStr">
        <is>
          <t>1</t>
        </is>
      </c>
      <c r="E22" s="43" t="inlineStr">
        <is>
          <t>2</t>
        </is>
      </c>
      <c r="F22" s="43" t="inlineStr">
        <is>
          <t>3</t>
        </is>
      </c>
      <c r="G22" s="43" t="inlineStr">
        <is>
          <t>Your answer</t>
        </is>
      </c>
    </row>
    <row r="23" ht="43.5" customHeight="1" s="28">
      <c r="B23" s="44" t="inlineStr">
        <is>
          <t>How does data end up in the storage class it is in?</t>
        </is>
      </c>
      <c r="C23" s="45" t="inlineStr">
        <is>
          <t>Whatever the default was when it was written</t>
        </is>
      </c>
      <c r="D23" s="45" t="inlineStr">
        <is>
          <t>A cleanup happens when someone notices the bill</t>
        </is>
      </c>
      <c r="E23" s="45" t="inlineStr">
        <is>
          <t>Lifecycle rules by age</t>
        </is>
      </c>
      <c r="F23" s="45" t="inlineStr">
        <is>
          <t>Storage class chosen from a measured access pattern, at design time</t>
        </is>
      </c>
      <c r="G23" s="46" t="n">
        <v>1</v>
      </c>
    </row>
    <row r="24" ht="43.5" customHeight="1" s="28">
      <c r="B24" s="44" t="inlineStr">
        <is>
          <t>Do you know the age distribution of reads on your largest dataset?</t>
        </is>
      </c>
      <c r="C24" s="45" t="inlineStr">
        <is>
          <t>No</t>
        </is>
      </c>
      <c r="D24" s="45" t="inlineStr">
        <is>
          <t>We could find out</t>
        </is>
      </c>
      <c r="E24" s="45" t="inlineStr">
        <is>
          <t>Yes, roughly</t>
        </is>
      </c>
      <c r="F24" s="45" t="inlineStr">
        <is>
          <t>Yes, and it drives the lifecycle policy</t>
        </is>
      </c>
      <c r="G24" s="46" t="n">
        <v>1</v>
      </c>
    </row>
    <row r="26" ht="15" customHeight="1" s="28">
      <c r="B26" s="32" t="inlineStr">
        <is>
          <t>AI inference spend</t>
        </is>
      </c>
    </row>
    <row r="27" ht="15.75" customHeight="1" s="28">
      <c r="B27" s="34" t="inlineStr">
        <is>
          <t>Question</t>
        </is>
      </c>
      <c r="C27" s="43" t="inlineStr">
        <is>
          <t>0</t>
        </is>
      </c>
      <c r="D27" s="43" t="inlineStr">
        <is>
          <t>1</t>
        </is>
      </c>
      <c r="E27" s="43" t="inlineStr">
        <is>
          <t>2</t>
        </is>
      </c>
      <c r="F27" s="43" t="inlineStr">
        <is>
          <t>3</t>
        </is>
      </c>
      <c r="G27" s="43" t="inlineStr">
        <is>
          <t>Your answer</t>
        </is>
      </c>
    </row>
    <row r="28" ht="43.5" customHeight="1" s="28">
      <c r="B28" s="44" t="inlineStr">
        <is>
          <t>Is model choice per request path a design decision in your system?</t>
        </is>
      </c>
      <c r="C28" s="45" t="inlineStr">
        <is>
          <t>We use one model for everything, or have not started</t>
        </is>
      </c>
      <c r="D28" s="45" t="inlineStr">
        <is>
          <t>Model choice was made once, globally</t>
        </is>
      </c>
      <c r="E28" s="45" t="inlineStr">
        <is>
          <t>Different paths use different models, chosen informally</t>
        </is>
      </c>
      <c r="F28" s="45" t="inlineStr">
        <is>
          <t>Routing and tiering are designed, with the cost spread understood</t>
        </is>
      </c>
      <c r="G28" s="46" t="n">
        <v>1</v>
      </c>
    </row>
    <row r="29" ht="43.5" customHeight="1" s="28">
      <c r="B29" s="44" t="inlineStr">
        <is>
          <t>Do you have a load model that includes context and output length?</t>
        </is>
      </c>
      <c r="C29" s="45" t="inlineStr">
        <is>
          <t>No, and inference cost is unpredictable</t>
        </is>
      </c>
      <c r="D29" s="45" t="inlineStr">
        <is>
          <t>We track total spend only</t>
        </is>
      </c>
      <c r="E29" s="45" t="inlineStr">
        <is>
          <t>We track cost per request</t>
        </is>
      </c>
      <c r="F29" s="45" t="inlineStr">
        <is>
          <t>Context, output length and retry behaviour are all in the capacity model</t>
        </is>
      </c>
      <c r="G29" s="46" t="n">
        <v>1</v>
      </c>
    </row>
    <row r="31" ht="22.35" customHeight="1" s="28">
      <c r="B31" s="42" t="inlineStr">
        <is>
          <t>Leave a row blank if you do not know. Your Result reports what is missing.</t>
        </is>
      </c>
    </row>
    <row r="33" ht="15" customHeight="1" s="28">
      <c r="B33" s="33" t="inlineStr">
        <is>
          <t>Cost Attribution Worksheet v1.0.1  ·  Architecting for Cost  ·  leeatchison.com</t>
        </is>
      </c>
    </row>
  </sheetData>
  <sheetProtection selectLockedCells="0" selectUnlockedCells="0" sheet="1" objects="0" insertRows="1" insertHyperlinks="1" autoFilter="1" scenarios="0" formatColumns="1" deleteColumns="1" insertColumns="1" pivotTables="1" deleteRows="1" formatCells="1" formatRows="1" sort="1"/>
  <mergeCells count="1">
    <mergeCell ref="B4:G4"/>
  </mergeCells>
  <dataValidations count="1">
    <dataValidation sqref="G8:G9 G13:G14 G18:G19 G23:G24 G28:G29" showDropDown="0" showInputMessage="0" showErrorMessage="0" allowBlank="1" errorTitle="0 to 3 only" error="Enter 0, 1, 2 or 3." type="whole" errorStyle="stop" operator="between">
      <formula1>0</formula1>
      <formula2>3</formula2>
    </dataValidation>
  </dataValidations>
  <printOptions horizontalCentered="0" verticalCentered="0" headings="0" gridLines="0" gridLinesSet="1"/>
  <pageMargins left="0.75" right="0.75" top="1" bottom="1" header="0.511811023622047" footer="0.511811023622047"/>
  <pageSetup orientation="landscape"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1"/>
  </sheetPr>
  <dimension ref="B2:D2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7" min="1" max="1"/>
    <col width="46" customWidth="1" style="27" min="2" max="2"/>
    <col width="30" customWidth="1" style="27" min="3" max="3"/>
    <col width="44" customWidth="1" style="27" min="4" max="4"/>
  </cols>
  <sheetData>
    <row r="2" ht="19.7" customHeight="1" s="28">
      <c r="B2" s="29" t="inlineStr">
        <is>
          <t>Your Result</t>
        </is>
      </c>
    </row>
    <row r="4" ht="33.75" customHeight="1" s="28">
      <c r="B4" s="30" t="inlineStr">
        <is>
          <t>Line items you could confidently attribute</t>
        </is>
      </c>
      <c r="C4" s="47">
        <f>IF(COUNTA('Attribution Table'!G8:G12)&lt;5,"Fill in all five rows of the Attribution Table.",COUNTIF('Attribution Table'!G8:G12,"Sure")&amp;" of 5")</f>
        <v/>
      </c>
      <c r="D4" s="42" t="inlineStr">
        <is>
          <t>Marked Sure. Anything else is a gap.</t>
        </is>
      </c>
    </row>
    <row r="5" ht="33.75" customHeight="1" s="28">
      <c r="B5" s="30" t="inlineStr">
        <is>
          <t>Unattributed spend, per month</t>
        </is>
      </c>
      <c r="C5" s="48">
        <f>IF(COUNTA('Attribution Table'!G8:G12)&lt;5,"",SUMIF('Attribution Table'!G8:G12,"Guessing",'Attribution Table'!C8:C12)+SUMIF('Attribution Table'!G8:G12,"No idea",'Attribution Table'!C8:C12))</f>
        <v/>
      </c>
      <c r="D5" s="42" t="inlineStr">
        <is>
          <t>Your own money, against decisions you cannot name.</t>
        </is>
      </c>
    </row>
    <row r="6" ht="33.75" customHeight="1" s="28">
      <c r="B6" s="30" t="inlineStr">
        <is>
          <t>Line items you could not unmake at all</t>
        </is>
      </c>
      <c r="C6" s="47">
        <f>IF(COUNTA('Attribution Table'!G8:G12)&lt;5,"",COUNTIF('Attribution Table'!F8:F12,"Cannot be unmade")&amp;" of 5")</f>
        <v/>
      </c>
      <c r="D6" s="42" t="inlineStr">
        <is>
          <t>Reversibility is a design property too.</t>
        </is>
      </c>
    </row>
    <row r="7" ht="33.75" customHeight="1" s="28">
      <c r="B7" s="30" t="inlineStr">
        <is>
          <t>Line items whose cause you left blank</t>
        </is>
      </c>
      <c r="C7" s="47">
        <f>IF(COUNTA('Attribution Table'!G8:G12)&lt;5,"",(5-COUNTA('Attribution Table'!D8:D12))&amp;" of 5")</f>
        <v/>
      </c>
      <c r="D7" s="42" t="inlineStr">
        <is>
          <t>Blank is an honest answer and counts here.</t>
        </is>
      </c>
    </row>
    <row r="9" ht="15" customHeight="1" s="28">
      <c r="B9" s="32" t="inlineStr">
        <is>
          <t>Structural drivers</t>
        </is>
      </c>
    </row>
    <row r="10" ht="15" customHeight="1" s="28">
      <c r="B10" s="49" t="inlineStr">
        <is>
          <t>Driver</t>
        </is>
      </c>
      <c r="C10" s="43" t="inlineStr">
        <is>
          <t>Score (out of 6)</t>
        </is>
      </c>
      <c r="D10" s="49" t="inlineStr">
        <is>
          <t>Where the course covers it</t>
        </is>
      </c>
    </row>
    <row r="11" ht="15" customHeight="1" s="28">
      <c r="B11" s="50" t="inlineStr">
        <is>
          <t>Multi-tenancy and isolation</t>
        </is>
      </c>
      <c r="C11" s="37">
        <f>IF(COUNT('Drivers Check'!G8:G9)&lt;2,"",SUM('Drivers Check'!G8:G9))</f>
        <v/>
      </c>
      <c r="D11" s="51" t="inlineStr">
        <is>
          <t>Module 4</t>
        </is>
      </c>
    </row>
    <row r="12" ht="15" customHeight="1" s="28">
      <c r="B12" s="50" t="inlineStr">
        <is>
          <t>Data gravity and egress</t>
        </is>
      </c>
      <c r="C12" s="37">
        <f>IF(COUNT('Drivers Check'!G13:G14)&lt;2,"",SUM('Drivers Check'!G13:G14))</f>
        <v/>
      </c>
      <c r="D12" s="51" t="inlineStr">
        <is>
          <t>Module 5</t>
        </is>
      </c>
    </row>
    <row r="13" ht="15" customHeight="1" s="28">
      <c r="B13" s="50" t="inlineStr">
        <is>
          <t>Idle and over-provisioned capacity</t>
        </is>
      </c>
      <c r="C13" s="37">
        <f>IF(COUNT('Drivers Check'!G18:G19)&lt;2,"",SUM('Drivers Check'!G18:G19))</f>
        <v/>
      </c>
      <c r="D13" s="51" t="inlineStr">
        <is>
          <t>Module 3</t>
        </is>
      </c>
    </row>
    <row r="14" ht="15" customHeight="1" s="28">
      <c r="B14" s="50" t="inlineStr">
        <is>
          <t>Storage tiering</t>
        </is>
      </c>
      <c r="C14" s="37">
        <f>IF(COUNT('Drivers Check'!G23:G24)&lt;2,"",SUM('Drivers Check'!G23:G24))</f>
        <v/>
      </c>
      <c r="D14" s="51" t="inlineStr">
        <is>
          <t>Module 5</t>
        </is>
      </c>
    </row>
    <row r="15" ht="15" customHeight="1" s="28">
      <c r="B15" s="50" t="inlineStr">
        <is>
          <t>AI inference spend</t>
        </is>
      </c>
      <c r="C15" s="37">
        <f>IF(COUNT('Drivers Check'!G28:G29)&lt;2,"",SUM('Drivers Check'!G28:G29))</f>
        <v/>
      </c>
      <c r="D15" s="51" t="inlineStr">
        <is>
          <t>Module 6</t>
        </is>
      </c>
    </row>
    <row r="17" ht="15" customHeight="1" s="28">
      <c r="B17" s="40" t="inlineStr">
        <is>
          <t>Weakest driver</t>
        </is>
      </c>
      <c r="C17" s="52">
        <f>IF(COUNT(C11:C15)&lt;5,"Finish the Drivers Check.",INDEX(B11:B15,MATCH(MIN(C11:C15),C11:C15,0)))</f>
        <v/>
      </c>
    </row>
    <row r="20" ht="15" customHeight="1" s="28">
      <c r="B20" s="32" t="inlineStr">
        <is>
          <t>What this result means</t>
        </is>
      </c>
    </row>
    <row r="22" ht="30" customHeight="1" s="28">
      <c r="B22" s="31" t="inlineStr">
        <is>
          <t>If you attributed four or five with confidence, you are in rare company, and the drivers score above is where your attention belongs.</t>
        </is>
      </c>
    </row>
    <row r="23" ht="30" customHeight="1" s="28">
      <c r="B23" s="31" t="inlineStr">
        <is>
          <t>If you attributed two or fewer, that is the normal answer, and it is the reason this worksheet exists. The unattributed figure above is real money attached to decisions nobody in the room can name.</t>
        </is>
      </c>
    </row>
    <row r="24" ht="30" customHeight="1" s="28">
      <c r="B24" s="31" t="inlineStr">
        <is>
          <t>Neither result is a grade. The gap between a bill and the decisions behind it is the problem the whole subject is about, and finding yours is the first useful step.</t>
        </is>
      </c>
    </row>
    <row r="26" ht="15" customHeight="1" s="28">
      <c r="B26" s="40" t="inlineStr">
        <is>
          <t>Architecting for Cost is the course built around closing that gap.  leeatchison.com</t>
        </is>
      </c>
    </row>
    <row r="28" ht="15" customHeight="1" s="28">
      <c r="B28" s="33" t="inlineStr">
        <is>
          <t>Cost Attribution Worksheet v1.0.1  ·  Architecting for Cost  ·  leeatchison.com</t>
        </is>
      </c>
    </row>
  </sheetData>
  <sheetProtection selectLockedCells="0" selectUnlockedCells="0" sheet="1" objects="0" insertRows="1" insertHyperlinks="1" autoFilter="1" scenarios="0" formatColumns="1" deleteColumns="1" insertColumns="1" pivotTables="1" deleteRows="1" formatCells="1" formatRows="1" sort="1"/>
  <mergeCells count="5">
    <mergeCell ref="B23:D23"/>
    <mergeCell ref="B22:D22"/>
    <mergeCell ref="B26:D26"/>
    <mergeCell ref="C17:D17"/>
    <mergeCell ref="B24:D24"/>
  </mergeCells>
  <printOptions horizontalCentered="0" verticalCentered="0" headings="0" gridLines="0" gridLinesSet="1"/>
  <pageMargins left="0.75" right="0.75" top="1" bottom="1" header="0.511811023622047" footer="0.511811023622047"/>
  <pageSetup orientation="landscape"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2026-09-09T20:11:13Z</dcterms:created>
  <dcterms:modified xmlns:dcterms="http://purl.org/dc/terms/" xmlns:xsi="http://www.w3.org/2001/XMLSchema-instance" xsi:type="dcterms:W3CDTF">2026-09-13T15:44:10Z</dcterms:modified>
  <cp:revision>0</cp:revision>
</cp:coreProperties>
</file>